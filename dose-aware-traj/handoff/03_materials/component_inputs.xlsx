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안내" sheetId="1" state="visible" r:id="rId3"/>
    <sheet name="부품_입력" sheetId="2" state="visible" r:id="rId4"/>
    <sheet name="설정" sheetId="3" state="visible" r:id="rId5"/>
    <sheet name="부품_위치도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NIST X-Ray Mass Attenuation Coefficients, Lead (Z=82), 0.5 MeV: μ/ρ = 1.614E-01 cm²/g. </t>
        </r>
        <r>
          <rPr>
            <sz val="10"/>
            <rFont val="Noto Sans CJK SC"/>
            <family val="2"/>
          </rPr>
          <t xml:space="preserve">예시 행 전용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<sst xmlns="http://schemas.openxmlformats.org/spreadsheetml/2006/main" count="127" uniqueCount="105">
  <si>
    <r>
      <rPr>
        <b val="true"/>
        <sz val="13"/>
        <rFont val="Noto Sans CJK SC"/>
        <family val="2"/>
      </rPr>
      <t xml:space="preserve">부품별 차폐</t>
    </r>
    <r>
      <rPr>
        <b val="true"/>
        <sz val="13"/>
        <rFont val="Arial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내방사선 입력 양식</t>
    </r>
  </si>
  <si>
    <r>
      <rPr>
        <sz val="9"/>
        <color rgb="FF52514E"/>
        <rFont val="Noto Sans CJK SC"/>
        <family val="2"/>
      </rPr>
      <t xml:space="preserve">소재 파트 → 경로계획</t>
    </r>
    <r>
      <rPr>
        <sz val="9"/>
        <color rgb="FF52514E"/>
        <rFont val="Arial"/>
        <family val="0"/>
        <charset val="1"/>
      </rPr>
      <t xml:space="preserve">(E) </t>
    </r>
    <r>
      <rPr>
        <sz val="9"/>
        <color rgb="FF52514E"/>
        <rFont val="Noto Sans CJK SC"/>
        <family val="2"/>
      </rPr>
      <t xml:space="preserve">파트  </t>
    </r>
    <r>
      <rPr>
        <sz val="9"/>
        <color rgb="FF52514E"/>
        <rFont val="Arial"/>
        <family val="0"/>
        <charset val="1"/>
      </rPr>
      <t xml:space="preserve">|  </t>
    </r>
    <r>
      <rPr>
        <sz val="9"/>
        <color rgb="FF52514E"/>
        <rFont val="Noto Sans CJK SC"/>
        <family val="2"/>
      </rPr>
      <t xml:space="preserve">양식 </t>
    </r>
    <r>
      <rPr>
        <sz val="9"/>
        <color rgb="FF52514E"/>
        <rFont val="Arial"/>
        <family val="0"/>
        <charset val="1"/>
      </rPr>
      <t xml:space="preserve">v0.1  |  2026-10-01</t>
    </r>
  </si>
  <si>
    <t xml:space="preserve">목적</t>
  </si>
  <si>
    <r>
      <rPr>
        <sz val="10"/>
        <rFont val="Noto Sans CJK SC"/>
        <family val="2"/>
      </rPr>
      <t xml:space="preserve">로봇 부품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마다 누적선량 </t>
    </r>
    <r>
      <rPr>
        <sz val="10"/>
        <rFont val="Arial"/>
        <family val="0"/>
        <charset val="1"/>
      </rPr>
      <t xml:space="preserve">D_k = S_k × ∫Ḋ(p_k(t)) dt </t>
    </r>
    <r>
      <rPr>
        <sz val="10"/>
        <rFont val="Noto Sans CJK SC"/>
        <family val="2"/>
      </rPr>
      <t xml:space="preserve">를 계산하고</t>
    </r>
    <r>
      <rPr>
        <sz val="10"/>
        <rFont val="Arial"/>
        <family val="0"/>
        <charset val="1"/>
      </rPr>
      <t xml:space="preserve">, 1</t>
    </r>
    <r>
      <rPr>
        <sz val="10"/>
        <rFont val="Noto Sans CJK SC"/>
        <family val="2"/>
      </rPr>
      <t xml:space="preserve">회 작업 예산 </t>
    </r>
    <r>
      <rPr>
        <sz val="10"/>
        <rFont val="Arial"/>
        <family val="0"/>
        <charset val="1"/>
      </rPr>
      <t xml:space="preserve">B_k = TID_max,k / N_ex </t>
    </r>
    <r>
      <rPr>
        <sz val="10"/>
        <rFont val="Noto Sans CJK SC"/>
        <family val="2"/>
      </rPr>
      <t xml:space="preserve">와 비교한다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표의 </t>
    </r>
    <r>
      <rPr>
        <sz val="10"/>
        <rFont val="Arial"/>
        <family val="0"/>
        <charset val="1"/>
      </rPr>
      <t xml:space="preserve">S_k, TID_max, </t>
    </r>
    <r>
      <rPr>
        <sz val="10"/>
        <rFont val="Noto Sans CJK SC"/>
        <family val="2"/>
      </rPr>
      <t xml:space="preserve">차폐재 질량이 계산에 그대로 들어간다</t>
    </r>
    <r>
      <rPr>
        <sz val="10"/>
        <rFont val="Arial"/>
        <family val="0"/>
        <charset val="1"/>
      </rPr>
      <t xml:space="preserve">.</t>
    </r>
  </si>
  <si>
    <t xml:space="preserve">작성할 칸</t>
  </si>
  <si>
    <r>
      <rPr>
        <sz val="10"/>
        <rFont val="Noto Sans CJK SC"/>
        <family val="2"/>
      </rPr>
      <t xml:space="preserve">노란 칸만 채운다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회색 칸</t>
    </r>
    <r>
      <rPr>
        <sz val="10"/>
        <rFont val="Arial"/>
        <family val="0"/>
        <charset val="1"/>
      </rPr>
      <t xml:space="preserve">(ID, </t>
    </r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위치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경로계획 쪽 정의이므로 바꾸지 말고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바꿔야 하면 비고에 적어 달라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</si>
  <si>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투과율 </t>
    </r>
    <r>
      <rPr>
        <b val="true"/>
        <sz val="10"/>
        <rFont val="Arial"/>
        <family val="0"/>
        <charset val="1"/>
      </rPr>
      <t xml:space="preserve">S_k</t>
    </r>
  </si>
  <si>
    <r>
      <rPr>
        <sz val="10"/>
        <rFont val="Noto Sans CJK SC"/>
        <family val="2"/>
      </rPr>
      <t xml:space="preserve">차폐재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두께</t>
    </r>
    <r>
      <rPr>
        <sz val="10"/>
        <rFont val="Arial"/>
        <family val="0"/>
        <charset val="1"/>
      </rPr>
      <t xml:space="preserve">·μ/ρ·ρ </t>
    </r>
    <r>
      <rPr>
        <sz val="10"/>
        <rFont val="Noto Sans CJK SC"/>
        <family val="2"/>
      </rPr>
      <t xml:space="preserve">를 넣으면 </t>
    </r>
    <r>
      <rPr>
        <sz val="10"/>
        <rFont val="Arial"/>
        <family val="0"/>
        <charset val="1"/>
      </rPr>
      <t xml:space="preserve">S_k = exp(−(μ/ρ)·ρ·x) </t>
    </r>
    <r>
      <rPr>
        <sz val="10"/>
        <rFont val="Noto Sans CJK SC"/>
        <family val="2"/>
      </rPr>
      <t xml:space="preserve">가 자동 계산된다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몬테카를로 등으로 따로 구한 값이 있으면 </t>
    </r>
    <r>
      <rPr>
        <sz val="10"/>
        <rFont val="Arial"/>
        <family val="0"/>
        <charset val="1"/>
      </rPr>
      <t xml:space="preserve">'S_k </t>
    </r>
    <r>
      <rPr>
        <sz val="10"/>
        <rFont val="Noto Sans CJK SC"/>
        <family val="2"/>
      </rPr>
      <t xml:space="preserve">직접입력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에 넣는다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직접입력이 우선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차폐가 없으면 비워 두면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로 처리된다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</si>
  <si>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μ/ρ </t>
    </r>
    <r>
      <rPr>
        <b val="true"/>
        <sz val="10"/>
        <rFont val="Noto Sans CJK SC"/>
        <family val="2"/>
      </rPr>
      <t xml:space="preserve">기준 에너지</t>
    </r>
  </si>
  <si>
    <r>
      <rPr>
        <sz val="10"/>
        <rFont val="Noto Sans CJK SC"/>
        <family val="2"/>
      </rPr>
      <t xml:space="preserve">설정 시트의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기준 감마 에너지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와 같은 에너지의 값을 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에너지는 방사선 파트와 맞춘다</t>
    </r>
    <r>
      <rPr>
        <sz val="10"/>
        <rFont val="Arial"/>
        <family val="0"/>
        <charset val="1"/>
      </rPr>
      <t xml:space="preserve">.</t>
    </r>
  </si>
  <si>
    <t xml:space="preserve">TID_max</t>
  </si>
  <si>
    <r>
      <rPr>
        <sz val="10"/>
        <rFont val="Noto Sans CJK SC"/>
        <family val="2"/>
      </rPr>
      <t xml:space="preserve">부품이 기능을 유지하는 최대 누적 흡수선량 </t>
    </r>
    <r>
      <rPr>
        <sz val="10"/>
        <rFont val="Arial"/>
        <family val="0"/>
        <charset val="1"/>
      </rPr>
      <t xml:space="preserve">[Gy]. </t>
    </r>
    <r>
      <rPr>
        <sz val="10"/>
        <rFont val="Noto Sans CJK SC"/>
        <family val="2"/>
      </rPr>
      <t xml:space="preserve">매질은 설정 시트의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선량 매질</t>
    </r>
    <r>
      <rPr>
        <sz val="10"/>
        <rFont val="Arial"/>
        <family val="0"/>
        <charset val="1"/>
      </rPr>
      <t xml:space="preserve">'(</t>
    </r>
    <r>
      <rPr>
        <sz val="10"/>
        <rFont val="Noto Sans CJK SC"/>
        <family val="2"/>
      </rPr>
      <t xml:space="preserve">기본 </t>
    </r>
    <r>
      <rPr>
        <sz val="10"/>
        <rFont val="Arial"/>
        <family val="0"/>
        <charset val="1"/>
      </rPr>
      <t xml:space="preserve">Si). </t>
    </r>
    <r>
      <rPr>
        <sz val="10"/>
        <rFont val="Noto Sans CJK SC"/>
        <family val="2"/>
      </rPr>
      <t xml:space="preserve">근거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논문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데이터시트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시험 결과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반드시 적는다</t>
    </r>
    <r>
      <rPr>
        <sz val="10"/>
        <rFont val="Arial"/>
        <family val="0"/>
        <charset val="1"/>
      </rPr>
      <t xml:space="preserve">.</t>
    </r>
  </si>
  <si>
    <t xml:space="preserve">차폐재 질량</t>
  </si>
  <si>
    <r>
      <rPr>
        <sz val="10"/>
        <rFont val="Noto Sans CJK SC"/>
        <family val="2"/>
      </rPr>
      <t xml:space="preserve">해당 부품에 추가되는 차폐재 질량 </t>
    </r>
    <r>
      <rPr>
        <sz val="10"/>
        <rFont val="Arial"/>
        <family val="0"/>
        <charset val="1"/>
      </rPr>
      <t xml:space="preserve">[kg]. </t>
    </r>
    <r>
      <rPr>
        <sz val="10"/>
        <rFont val="Noto Sans CJK SC"/>
        <family val="2"/>
      </rPr>
      <t xml:space="preserve">경로계획 쪽 토크 계산에서 이 부품 위치의 점질량으로 더한다</t>
    </r>
    <r>
      <rPr>
        <sz val="10"/>
        <rFont val="Arial"/>
        <family val="0"/>
        <charset val="1"/>
      </rPr>
      <t xml:space="preserve">.</t>
    </r>
  </si>
  <si>
    <t xml:space="preserve">N_ex</t>
  </si>
  <si>
    <r>
      <rPr>
        <sz val="10"/>
        <rFont val="Noto Sans CJK SC"/>
        <family val="2"/>
      </rPr>
      <t xml:space="preserve">로봇 수명 동안 예상되는 베드 교체 횟수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공정 파트와 협의해 설정 시트에 넣는다</t>
    </r>
    <r>
      <rPr>
        <sz val="10"/>
        <rFont val="Arial"/>
        <family val="0"/>
        <charset val="1"/>
      </rPr>
      <t xml:space="preserve">.</t>
    </r>
  </si>
  <si>
    <t xml:space="preserve">예시 행</t>
  </si>
  <si>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입력 시트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행은 형식을 보여주기 위한 예시이며 계산에 쓰이지 않는다</t>
    </r>
    <r>
      <rPr>
        <sz val="10"/>
        <rFont val="Arial"/>
        <family val="0"/>
        <charset val="1"/>
      </rPr>
      <t xml:space="preserve">.</t>
    </r>
  </si>
  <si>
    <t xml:space="preserve">부품 위치</t>
  </si>
  <si>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위치도 시트 참고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관절 구동부는 각 관절 축 중심 위치로 둔다</t>
    </r>
    <r>
      <rPr>
        <sz val="10"/>
        <rFont val="Arial"/>
        <family val="0"/>
        <charset val="1"/>
      </rPr>
      <t xml:space="preserve">.</t>
    </r>
  </si>
  <si>
    <t xml:space="preserve">회신</t>
  </si>
  <si>
    <r>
      <rPr>
        <sz val="10"/>
        <rFont val="Noto Sans CJK SC"/>
        <family val="2"/>
      </rPr>
      <t xml:space="preserve">채운 파일을 그대로 보내 주면 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파일 이름은 </t>
    </r>
    <r>
      <rPr>
        <sz val="10"/>
        <rFont val="Arial"/>
        <family val="0"/>
        <charset val="1"/>
      </rPr>
      <t xml:space="preserve">component_inputs.xlsx </t>
    </r>
    <r>
      <rPr>
        <sz val="10"/>
        <rFont val="Noto Sans CJK SC"/>
        <family val="2"/>
      </rPr>
      <t xml:space="preserve">로 유지</t>
    </r>
    <r>
      <rPr>
        <sz val="10"/>
        <rFont val="Arial"/>
        <family val="0"/>
        <charset val="1"/>
      </rPr>
      <t xml:space="preserve">.</t>
    </r>
  </si>
  <si>
    <t xml:space="preserve">색 구분</t>
  </si>
  <si>
    <t xml:space="preserve">입력 칸</t>
  </si>
  <si>
    <t xml:space="preserve">소재 파트가 채우는 칸</t>
  </si>
  <si>
    <t xml:space="preserve">고정 칸</t>
  </si>
  <si>
    <r>
      <rPr>
        <sz val="10"/>
        <rFont val="Noto Sans CJK SC"/>
        <family val="2"/>
      </rPr>
      <t xml:space="preserve">경로계획 쪽 정의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수정하지 않음</t>
    </r>
    <r>
      <rPr>
        <sz val="10"/>
        <rFont val="Arial"/>
        <family val="0"/>
        <charset val="1"/>
      </rPr>
      <t xml:space="preserve">)</t>
    </r>
  </si>
  <si>
    <t xml:space="preserve">계산 칸</t>
  </si>
  <si>
    <r>
      <rPr>
        <sz val="10"/>
        <rFont val="Noto Sans CJK SC"/>
        <family val="2"/>
      </rPr>
      <t xml:space="preserve">수식으로 자동 계산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흰 바탕</t>
    </r>
    <r>
      <rPr>
        <sz val="10"/>
        <rFont val="Arial"/>
        <family val="0"/>
        <charset val="1"/>
      </rPr>
      <t xml:space="preserve">)</t>
    </r>
  </si>
  <si>
    <r>
      <rPr>
        <b val="true"/>
        <sz val="13"/>
        <rFont val="Noto Sans CJK SC"/>
        <family val="2"/>
      </rPr>
      <t xml:space="preserve">부품별 차폐</t>
    </r>
    <r>
      <rPr>
        <b val="true"/>
        <sz val="13"/>
        <rFont val="Arial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내방사선 입력</t>
    </r>
  </si>
  <si>
    <r>
      <rPr>
        <sz val="9"/>
        <color rgb="FF52514E"/>
        <rFont val="Noto Sans CJK SC"/>
        <family val="2"/>
      </rPr>
      <t xml:space="preserve">노란 칸을 채운다</t>
    </r>
    <r>
      <rPr>
        <sz val="9"/>
        <color rgb="FF52514E"/>
        <rFont val="Arial"/>
        <family val="0"/>
        <charset val="1"/>
      </rPr>
      <t xml:space="preserve">. 5</t>
    </r>
    <r>
      <rPr>
        <sz val="9"/>
        <color rgb="FF52514E"/>
        <rFont val="Noto Sans CJK SC"/>
        <family val="2"/>
      </rPr>
      <t xml:space="preserve">행은 예시</t>
    </r>
    <r>
      <rPr>
        <sz val="9"/>
        <color rgb="FF52514E"/>
        <rFont val="Arial"/>
        <family val="0"/>
        <charset val="1"/>
      </rPr>
      <t xml:space="preserve">(</t>
    </r>
    <r>
      <rPr>
        <sz val="9"/>
        <color rgb="FF52514E"/>
        <rFont val="Noto Sans CJK SC"/>
        <family val="2"/>
      </rPr>
      <t xml:space="preserve">계산 제외</t>
    </r>
    <r>
      <rPr>
        <sz val="9"/>
        <color rgb="FF52514E"/>
        <rFont val="Arial"/>
        <family val="0"/>
        <charset val="1"/>
      </rPr>
      <t xml:space="preserve">). S_k = exp(−(μ/ρ)·ρ·x), B_k = TID_max / N_ex (N_ex</t>
    </r>
    <r>
      <rPr>
        <sz val="9"/>
        <color rgb="FF52514E"/>
        <rFont val="Noto Sans CJK SC"/>
        <family val="2"/>
      </rPr>
      <t xml:space="preserve">는 설정 시트</t>
    </r>
    <r>
      <rPr>
        <sz val="9"/>
        <color rgb="FF52514E"/>
        <rFont val="Arial"/>
        <family val="0"/>
        <charset val="1"/>
      </rPr>
      <t xml:space="preserve">).</t>
    </r>
  </si>
  <si>
    <t xml:space="preserve">ID</t>
  </si>
  <si>
    <t xml:space="preserve">부품</t>
  </si>
  <si>
    <t xml:space="preserve">설명</t>
  </si>
  <si>
    <t xml:space="preserve">분류</t>
  </si>
  <si>
    <r>
      <rPr>
        <b val="true"/>
        <sz val="10"/>
        <rFont val="Noto Sans CJK SC"/>
        <family val="2"/>
      </rPr>
      <t xml:space="preserve">링크
</t>
    </r>
    <r>
      <rPr>
        <b val="true"/>
        <sz val="10"/>
        <rFont val="Arial"/>
        <family val="0"/>
        <charset val="1"/>
      </rPr>
      <t xml:space="preserve">(pybullet)</t>
    </r>
  </si>
  <si>
    <r>
      <rPr>
        <b val="true"/>
        <sz val="10"/>
        <rFont val="Noto Sans CJK SC"/>
        <family val="2"/>
      </rPr>
      <t xml:space="preserve">위치
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링크 좌표계</t>
    </r>
    <r>
      <rPr>
        <b val="true"/>
        <sz val="10"/>
        <rFont val="Arial"/>
        <family val="0"/>
        <charset val="1"/>
      </rPr>
      <t xml:space="preserve">, m)</t>
    </r>
  </si>
  <si>
    <t xml:space="preserve">차폐재</t>
  </si>
  <si>
    <r>
      <rPr>
        <b val="true"/>
        <sz val="10"/>
        <rFont val="Noto Sans CJK SC"/>
        <family val="2"/>
      </rPr>
      <t xml:space="preserve">두께 </t>
    </r>
    <r>
      <rPr>
        <b val="true"/>
        <sz val="10"/>
        <rFont val="Arial"/>
        <family val="0"/>
        <charset val="1"/>
      </rPr>
      <t xml:space="preserve">x
(cm)</t>
    </r>
  </si>
  <si>
    <t xml:space="preserve">μ/ρ
(cm²/g)</t>
  </si>
  <si>
    <t xml:space="preserve">ρ
(g/cm³)</t>
  </si>
  <si>
    <r>
      <rPr>
        <b val="true"/>
        <sz val="10"/>
        <rFont val="Arial"/>
        <family val="0"/>
        <charset val="1"/>
      </rPr>
      <t xml:space="preserve">S_k </t>
    </r>
    <r>
      <rPr>
        <b val="true"/>
        <sz val="10"/>
        <rFont val="Noto Sans CJK SC"/>
        <family val="2"/>
      </rPr>
      <t xml:space="preserve">계산
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자동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</si>
  <si>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S_k </t>
    </r>
    <r>
      <rPr>
        <b val="true"/>
        <sz val="10"/>
        <rFont val="Noto Sans CJK SC"/>
        <family val="2"/>
      </rPr>
      <t xml:space="preserve">직접입력
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선택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</si>
  <si>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적용 </t>
    </r>
    <r>
      <rPr>
        <b val="true"/>
        <sz val="10"/>
        <rFont val="Arial"/>
        <family val="0"/>
        <charset val="1"/>
      </rPr>
      <t xml:space="preserve">S_k
(</t>
    </r>
    <r>
      <rPr>
        <b val="true"/>
        <sz val="10"/>
        <rFont val="Noto Sans CJK SC"/>
        <family val="2"/>
      </rPr>
      <t xml:space="preserve">자동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</si>
  <si>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차폐재 질량
</t>
    </r>
    <r>
      <rPr>
        <b val="true"/>
        <sz val="10"/>
        <rFont val="Arial"/>
        <family val="0"/>
        <charset val="1"/>
      </rPr>
      <t xml:space="preserve">(kg)</t>
    </r>
  </si>
  <si>
    <t xml:space="preserve">TID_max
(Gy)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</si>
  <si>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회 예산 </t>
    </r>
    <r>
      <rPr>
        <b val="true"/>
        <sz val="10"/>
        <rFont val="Arial"/>
        <family val="0"/>
        <charset val="1"/>
      </rPr>
      <t xml:space="preserve">B_k
(Gy, </t>
    </r>
    <r>
      <rPr>
        <b val="true"/>
        <sz val="10"/>
        <rFont val="Noto Sans CJK SC"/>
        <family val="2"/>
      </rPr>
      <t xml:space="preserve">자동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</si>
  <si>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근거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출처</t>
    </r>
  </si>
  <si>
    <t xml:space="preserve">비고</t>
  </si>
  <si>
    <t xml:space="preserve">예시</t>
  </si>
  <si>
    <r>
      <rPr>
        <i val="true"/>
        <sz val="10"/>
        <color rgb="FF898781"/>
        <rFont val="Noto Sans CJK SC"/>
        <family val="2"/>
      </rPr>
      <t xml:space="preserve">예</t>
    </r>
    <r>
      <rPr>
        <i val="true"/>
        <sz val="10"/>
        <color rgb="FF898781"/>
        <rFont val="Arial"/>
        <family val="0"/>
        <charset val="1"/>
      </rPr>
      <t xml:space="preserve">: A6 </t>
    </r>
    <r>
      <rPr>
        <i val="true"/>
        <sz val="10"/>
        <color rgb="FF898781"/>
        <rFont val="Noto Sans CJK SC"/>
        <family val="2"/>
      </rPr>
      <t xml:space="preserve">구동부</t>
    </r>
  </si>
  <si>
    <r>
      <rPr>
        <i val="true"/>
        <sz val="10"/>
        <color rgb="FF898781"/>
        <rFont val="Noto Sans CJK SC"/>
        <family val="2"/>
      </rPr>
      <t xml:space="preserve">형식 예시</t>
    </r>
    <r>
      <rPr>
        <i val="true"/>
        <sz val="10"/>
        <color rgb="FF898781"/>
        <rFont val="Arial"/>
        <family val="0"/>
        <charset val="1"/>
      </rPr>
      <t xml:space="preserve">. </t>
    </r>
    <r>
      <rPr>
        <i val="true"/>
        <sz val="10"/>
        <color rgb="FF898781"/>
        <rFont val="Noto Sans CJK SC"/>
        <family val="2"/>
      </rPr>
      <t xml:space="preserve">계산에 쓰이지 않음</t>
    </r>
  </si>
  <si>
    <t xml:space="preserve">구동부</t>
  </si>
  <si>
    <t xml:space="preserve">0, 0, 0</t>
  </si>
  <si>
    <t xml:space="preserve">Pb</t>
  </si>
  <si>
    <r>
      <rPr>
        <i val="true"/>
        <sz val="10"/>
        <color rgb="FF898781"/>
        <rFont val="Noto Sans CJK SC"/>
        <family val="2"/>
      </rPr>
      <t xml:space="preserve">예시 값</t>
    </r>
    <r>
      <rPr>
        <i val="true"/>
        <sz val="10"/>
        <color rgb="FF898781"/>
        <rFont val="Arial"/>
        <family val="0"/>
        <charset val="1"/>
      </rPr>
      <t xml:space="preserve">. μ/ρ</t>
    </r>
    <r>
      <rPr>
        <i val="true"/>
        <sz val="10"/>
        <color rgb="FF898781"/>
        <rFont val="Noto Sans CJK SC"/>
        <family val="2"/>
      </rPr>
      <t xml:space="preserve">는 </t>
    </r>
    <r>
      <rPr>
        <i val="true"/>
        <sz val="10"/>
        <color rgb="FF898781"/>
        <rFont val="Arial"/>
        <family val="0"/>
        <charset val="1"/>
      </rPr>
      <t xml:space="preserve">NIST </t>
    </r>
    <r>
      <rPr>
        <i val="true"/>
        <sz val="10"/>
        <color rgb="FF898781"/>
        <rFont val="Noto Sans CJK SC"/>
        <family val="2"/>
      </rPr>
      <t xml:space="preserve">납 </t>
    </r>
    <r>
      <rPr>
        <i val="true"/>
        <sz val="10"/>
        <color rgb="FF898781"/>
        <rFont val="Arial"/>
        <family val="0"/>
        <charset val="1"/>
      </rPr>
      <t xml:space="preserve">0.5 MeV </t>
    </r>
    <r>
      <rPr>
        <i val="true"/>
        <sz val="10"/>
        <color rgb="FF898781"/>
        <rFont val="Noto Sans CJK SC"/>
        <family val="2"/>
      </rPr>
      <t xml:space="preserve">값</t>
    </r>
  </si>
  <si>
    <t xml:space="preserve">C01</t>
  </si>
  <si>
    <r>
      <rPr>
        <sz val="10"/>
        <rFont val="Arial"/>
        <family val="0"/>
        <charset val="1"/>
      </rPr>
      <t xml:space="preserve">A1 </t>
    </r>
    <r>
      <rPr>
        <sz val="10"/>
        <rFont val="Noto Sans CJK SC"/>
        <family val="2"/>
      </rPr>
      <t xml:space="preserve">구동부</t>
    </r>
  </si>
  <si>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브레이크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엔코더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관절 토크센서</t>
    </r>
  </si>
  <si>
    <t xml:space="preserve">C02</t>
  </si>
  <si>
    <r>
      <rPr>
        <sz val="10"/>
        <rFont val="Arial"/>
        <family val="0"/>
        <charset val="1"/>
      </rPr>
      <t xml:space="preserve">A2 </t>
    </r>
    <r>
      <rPr>
        <sz val="10"/>
        <rFont val="Noto Sans CJK SC"/>
        <family val="2"/>
      </rPr>
      <t xml:space="preserve">구동부</t>
    </r>
  </si>
  <si>
    <t xml:space="preserve">C03</t>
  </si>
  <si>
    <r>
      <rPr>
        <sz val="10"/>
        <rFont val="Arial"/>
        <family val="0"/>
        <charset val="1"/>
      </rPr>
      <t xml:space="preserve">A3 </t>
    </r>
    <r>
      <rPr>
        <sz val="10"/>
        <rFont val="Noto Sans CJK SC"/>
        <family val="2"/>
      </rPr>
      <t xml:space="preserve">구동부</t>
    </r>
  </si>
  <si>
    <t xml:space="preserve">C04</t>
  </si>
  <si>
    <r>
      <rPr>
        <sz val="10"/>
        <rFont val="Arial"/>
        <family val="0"/>
        <charset val="1"/>
      </rPr>
      <t xml:space="preserve">A4 </t>
    </r>
    <r>
      <rPr>
        <sz val="10"/>
        <rFont val="Noto Sans CJK SC"/>
        <family val="2"/>
      </rPr>
      <t xml:space="preserve">구동부</t>
    </r>
  </si>
  <si>
    <t xml:space="preserve">C05</t>
  </si>
  <si>
    <r>
      <rPr>
        <sz val="10"/>
        <rFont val="Arial"/>
        <family val="0"/>
        <charset val="1"/>
      </rPr>
      <t xml:space="preserve">A5 </t>
    </r>
    <r>
      <rPr>
        <sz val="10"/>
        <rFont val="Noto Sans CJK SC"/>
        <family val="2"/>
      </rPr>
      <t xml:space="preserve">구동부</t>
    </r>
  </si>
  <si>
    <t xml:space="preserve">C06</t>
  </si>
  <si>
    <r>
      <rPr>
        <sz val="10"/>
        <rFont val="Arial"/>
        <family val="0"/>
        <charset val="1"/>
      </rPr>
      <t xml:space="preserve">A6 </t>
    </r>
    <r>
      <rPr>
        <sz val="10"/>
        <rFont val="Noto Sans CJK SC"/>
        <family val="2"/>
      </rPr>
      <t xml:space="preserve">구동부</t>
    </r>
  </si>
  <si>
    <t xml:space="preserve">C07</t>
  </si>
  <si>
    <r>
      <rPr>
        <sz val="10"/>
        <rFont val="Arial"/>
        <family val="0"/>
        <charset val="1"/>
      </rPr>
      <t xml:space="preserve">A7 </t>
    </r>
    <r>
      <rPr>
        <sz val="10"/>
        <rFont val="Noto Sans CJK SC"/>
        <family val="2"/>
      </rPr>
      <t xml:space="preserve">구동부</t>
    </r>
  </si>
  <si>
    <t xml:space="preserve">C08</t>
  </si>
  <si>
    <t xml:space="preserve">공구 구동부</t>
  </si>
  <si>
    <r>
      <rPr>
        <sz val="10"/>
        <rFont val="Noto Sans CJK SC"/>
        <family val="2"/>
      </rPr>
      <t xml:space="preserve">그리퍼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커플링 조작 액추에이터와 제어 보드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플랜지 바로 앞</t>
    </r>
    <r>
      <rPr>
        <sz val="10"/>
        <rFont val="Arial"/>
        <family val="0"/>
        <charset val="1"/>
      </rPr>
      <t xml:space="preserve">)</t>
    </r>
  </si>
  <si>
    <t xml:space="preserve">공구</t>
  </si>
  <si>
    <t xml:space="preserve">0, 0, 0.075</t>
  </si>
  <si>
    <t xml:space="preserve">C09</t>
  </si>
  <si>
    <t xml:space="preserve">손목 카메라</t>
  </si>
  <si>
    <r>
      <rPr>
        <sz val="10"/>
        <rFont val="Noto Sans CJK SC"/>
        <family val="2"/>
      </rPr>
      <t xml:space="preserve">작업 확인용 카메라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공구 옆면</t>
    </r>
    <r>
      <rPr>
        <sz val="10"/>
        <rFont val="Arial"/>
        <family val="0"/>
        <charset val="1"/>
      </rPr>
      <t xml:space="preserve">)</t>
    </r>
  </si>
  <si>
    <t xml:space="preserve">센서</t>
  </si>
  <si>
    <t xml:space="preserve">0.06, 0, 0.1</t>
  </si>
  <si>
    <t xml:space="preserve">C10</t>
  </si>
  <si>
    <t xml:space="preserve">베이스 커넥터부</t>
  </si>
  <si>
    <r>
      <rPr>
        <sz val="10"/>
        <rFont val="Noto Sans CJK SC"/>
        <family val="2"/>
      </rPr>
      <t xml:space="preserve">전원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통신 케이블 인터페이스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베이스 뒤쪽</t>
    </r>
    <r>
      <rPr>
        <sz val="10"/>
        <rFont val="Arial"/>
        <family val="0"/>
        <charset val="1"/>
      </rPr>
      <t xml:space="preserve">)</t>
    </r>
  </si>
  <si>
    <t xml:space="preserve">베이스</t>
  </si>
  <si>
    <t xml:space="preserve">-0.08, 0, 0.08</t>
  </si>
  <si>
    <t xml:space="preserve">설정값</t>
  </si>
  <si>
    <t xml:space="preserve">항목</t>
  </si>
  <si>
    <t xml:space="preserve">값</t>
  </si>
  <si>
    <t xml:space="preserve">단위</t>
  </si>
  <si>
    <t xml:space="preserve">담당</t>
  </si>
  <si>
    <t xml:space="preserve">로봇 수명 동안 예상되는 베드 교체 횟수</t>
  </si>
  <si>
    <t xml:space="preserve">회</t>
  </si>
  <si>
    <r>
      <rPr>
        <sz val="10"/>
        <rFont val="Noto Sans CJK SC"/>
        <family val="2"/>
      </rPr>
      <t xml:space="preserve">공정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소재 협의</t>
    </r>
  </si>
  <si>
    <t xml:space="preserve">기준 감마 에너지</t>
  </si>
  <si>
    <r>
      <rPr>
        <sz val="10"/>
        <rFont val="Arial"/>
        <family val="0"/>
        <charset val="1"/>
      </rPr>
      <t xml:space="preserve">μ/ρ</t>
    </r>
    <r>
      <rPr>
        <sz val="10"/>
        <rFont val="Noto Sans CJK SC"/>
        <family val="2"/>
      </rPr>
      <t xml:space="preserve">를 고를 때 쓰는 광자 에너지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방사선 파트와 같은 값</t>
    </r>
  </si>
  <si>
    <t xml:space="preserve">MeV</t>
  </si>
  <si>
    <r>
      <rPr>
        <sz val="10"/>
        <rFont val="Noto Sans CJK SC"/>
        <family val="2"/>
      </rPr>
      <t xml:space="preserve">방사선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소재</t>
    </r>
  </si>
  <si>
    <t xml:space="preserve">선량 매질</t>
  </si>
  <si>
    <r>
      <rPr>
        <sz val="10"/>
        <rFont val="Arial"/>
        <family val="0"/>
        <charset val="1"/>
      </rPr>
      <t xml:space="preserve">TID_max</t>
    </r>
    <r>
      <rPr>
        <sz val="10"/>
        <rFont val="Noto Sans CJK SC"/>
        <family val="2"/>
      </rPr>
      <t xml:space="preserve">와 선량 격자의 흡수선량 기준 매질</t>
    </r>
  </si>
  <si>
    <t xml:space="preserve">Si</t>
  </si>
  <si>
    <t xml:space="preserve">-</t>
  </si>
  <si>
    <t xml:space="preserve">소재</t>
  </si>
  <si>
    <t xml:space="preserve">선량 평가점 위치</t>
  </si>
  <si>
    <r>
      <rPr>
        <sz val="9"/>
        <color rgb="FF52514E"/>
        <rFont val="Noto Sans CJK SC"/>
        <family val="2"/>
      </rPr>
      <t xml:space="preserve">예시 자세에서 옆에서 본 모습</t>
    </r>
    <r>
      <rPr>
        <sz val="9"/>
        <color rgb="FF52514E"/>
        <rFont val="Arial"/>
        <family val="0"/>
        <charset val="1"/>
      </rPr>
      <t xml:space="preserve">. </t>
    </r>
    <r>
      <rPr>
        <sz val="9"/>
        <color rgb="FF52514E"/>
        <rFont val="Noto Sans CJK SC"/>
        <family val="2"/>
      </rPr>
      <t xml:space="preserve">실제 계산은 매 시점의 관절각으로 위치를 다시 구한다</t>
    </r>
    <r>
      <rPr>
        <sz val="9"/>
        <color rgb="FF52514E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</si>
</sst>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sz val="9"/>
      <color rgb="FF52514E"/>
      <name val="Noto Sans CJK SC"/>
      <family val="2"/>
    </font>
    <font>
      <sz val="9"/>
      <color rgb="FF52514E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98781"/>
      <name val="Noto Sans CJK SC"/>
      <family val="2"/>
    </font>
    <font>
      <i val="true"/>
      <sz val="10"/>
      <color rgb="FF89878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B3"/>
        <bgColor rgb="FFFFFF99"/>
      </patternFill>
    </fill>
    <fill>
      <patternFill patternType="solid">
        <fgColor rgb="FFF5F5F3"/>
        <bgColor rgb="FFEDEDEA"/>
      </patternFill>
    </fill>
    <fill>
      <patternFill patternType="solid">
        <fgColor rgb="FFEDEDEA"/>
        <bgColor rgb="FFF5F5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3C2B7"/>
      </left>
      <right style="thin">
        <color rgb="FFC3C2B7"/>
      </right>
      <top style="thin">
        <color rgb="FFC3C2B7"/>
      </top>
      <bottom style="thin">
        <color rgb="FFC3C2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2B7"/>
      <rgbColor rgb="FF898781"/>
      <rgbColor rgb="FF9999FF"/>
      <rgbColor rgb="FF993366"/>
      <rgbColor rgb="FFFFF2B3"/>
      <rgbColor rgb="FFEDED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186840</xdr:rowOff>
    </xdr:from>
    <xdr:to>
      <xdr:col>9</xdr:col>
      <xdr:colOff>401400</xdr:colOff>
      <xdr:row>23</xdr:row>
      <xdr:rowOff>129600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571680"/>
          <a:ext cx="5905080" cy="3943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0"/>
  </cols>
  <sheetData>
    <row r="1" customFormat="false" ht="20.1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31.5" hidden="false" customHeight="true" outlineLevel="0" collapsed="false">
      <c r="B4" s="3" t="s">
        <v>2</v>
      </c>
      <c r="C4" s="4" t="s">
        <v>3</v>
      </c>
    </row>
    <row r="5" customFormat="false" ht="31.5" hidden="false" customHeight="true" outlineLevel="0" collapsed="false">
      <c r="B5" s="3" t="s">
        <v>4</v>
      </c>
      <c r="C5" s="4" t="s">
        <v>5</v>
      </c>
    </row>
    <row r="6" customFormat="false" ht="31.5" hidden="false" customHeight="true" outlineLevel="0" collapsed="false">
      <c r="B6" s="3" t="s">
        <v>6</v>
      </c>
      <c r="C6" s="4" t="s">
        <v>7</v>
      </c>
    </row>
    <row r="7" customFormat="false" ht="31.5" hidden="false" customHeight="true" outlineLevel="0" collapsed="false">
      <c r="B7" s="5" t="s">
        <v>8</v>
      </c>
      <c r="C7" s="4" t="s">
        <v>9</v>
      </c>
    </row>
    <row r="8" customFormat="false" ht="31.5" hidden="false" customHeight="true" outlineLevel="0" collapsed="false">
      <c r="B8" s="5" t="s">
        <v>10</v>
      </c>
      <c r="C8" s="4" t="s">
        <v>11</v>
      </c>
    </row>
    <row r="9" customFormat="false" ht="31.5" hidden="false" customHeight="true" outlineLevel="0" collapsed="false">
      <c r="B9" s="3" t="s">
        <v>12</v>
      </c>
      <c r="C9" s="4" t="s">
        <v>13</v>
      </c>
    </row>
    <row r="10" customFormat="false" ht="31.5" hidden="false" customHeight="true" outlineLevel="0" collapsed="false">
      <c r="B10" s="5" t="s">
        <v>14</v>
      </c>
      <c r="C10" s="4" t="s">
        <v>15</v>
      </c>
    </row>
    <row r="11" customFormat="false" ht="31.5" hidden="false" customHeight="true" outlineLevel="0" collapsed="false">
      <c r="B11" s="3" t="s">
        <v>16</v>
      </c>
      <c r="C11" s="4" t="s">
        <v>17</v>
      </c>
    </row>
    <row r="12" customFormat="false" ht="31.5" hidden="false" customHeight="true" outlineLevel="0" collapsed="false">
      <c r="B12" s="3" t="s">
        <v>18</v>
      </c>
      <c r="C12" s="4" t="s">
        <v>19</v>
      </c>
    </row>
    <row r="13" customFormat="false" ht="31.5" hidden="false" customHeight="true" outlineLevel="0" collapsed="false">
      <c r="B13" s="3" t="s">
        <v>20</v>
      </c>
      <c r="C13" s="4" t="s">
        <v>21</v>
      </c>
    </row>
    <row r="15" customFormat="false" ht="15" hidden="false" customHeight="false" outlineLevel="0" collapsed="false">
      <c r="B15" s="3" t="s">
        <v>22</v>
      </c>
    </row>
    <row r="16" customFormat="false" ht="15" hidden="false" customHeight="false" outlineLevel="0" collapsed="false">
      <c r="B16" s="6" t="s">
        <v>23</v>
      </c>
      <c r="C16" s="7" t="s">
        <v>24</v>
      </c>
    </row>
    <row r="17" customFormat="false" ht="15" hidden="false" customHeight="false" outlineLevel="0" collapsed="false">
      <c r="B17" s="8" t="s">
        <v>25</v>
      </c>
      <c r="C17" s="7" t="s">
        <v>26</v>
      </c>
    </row>
    <row r="18" customFormat="false" ht="15" hidden="false" customHeight="false" outlineLevel="0" collapsed="false">
      <c r="B18" s="9" t="s">
        <v>27</v>
      </c>
      <c r="C18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5" min="4" style="0" width="9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4" style="0" width="11"/>
    <col collapsed="false" customWidth="true" hidden="false" outlineLevel="0" max="16" min="16" style="0" width="13"/>
    <col collapsed="false" customWidth="true" hidden="false" outlineLevel="0" max="17" min="17" style="0" width="34"/>
    <col collapsed="false" customWidth="true" hidden="false" outlineLevel="0" max="18" min="18" style="0" width="24"/>
  </cols>
  <sheetData>
    <row r="1" customFormat="false" ht="20.1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33.75" hidden="false" customHeight="true" outlineLevel="0" collapsed="false">
      <c r="A4" s="10" t="s">
        <v>31</v>
      </c>
      <c r="B4" s="11" t="s">
        <v>32</v>
      </c>
      <c r="C4" s="11" t="s">
        <v>33</v>
      </c>
      <c r="D4" s="11" t="s">
        <v>34</v>
      </c>
      <c r="E4" s="11" t="s">
        <v>35</v>
      </c>
      <c r="F4" s="11" t="s">
        <v>36</v>
      </c>
      <c r="G4" s="11" t="s">
        <v>37</v>
      </c>
      <c r="H4" s="11" t="s">
        <v>38</v>
      </c>
      <c r="I4" s="10" t="s">
        <v>39</v>
      </c>
      <c r="J4" s="10" t="s">
        <v>40</v>
      </c>
      <c r="K4" s="10" t="s">
        <v>41</v>
      </c>
      <c r="L4" s="10" t="s">
        <v>42</v>
      </c>
      <c r="M4" s="11" t="s">
        <v>43</v>
      </c>
      <c r="N4" s="11" t="s">
        <v>44</v>
      </c>
      <c r="O4" s="10" t="s">
        <v>45</v>
      </c>
      <c r="P4" s="10" t="s">
        <v>46</v>
      </c>
      <c r="Q4" s="11" t="s">
        <v>47</v>
      </c>
      <c r="R4" s="11" t="s">
        <v>48</v>
      </c>
    </row>
    <row r="5" customFormat="false" ht="15" hidden="false" customHeight="false" outlineLevel="0" collapsed="false">
      <c r="A5" s="12" t="s">
        <v>49</v>
      </c>
      <c r="B5" s="12" t="s">
        <v>50</v>
      </c>
      <c r="C5" s="12" t="s">
        <v>51</v>
      </c>
      <c r="D5" s="12" t="s">
        <v>52</v>
      </c>
      <c r="E5" s="12" t="n">
        <v>5</v>
      </c>
      <c r="F5" s="13" t="s">
        <v>53</v>
      </c>
      <c r="G5" s="13" t="s">
        <v>54</v>
      </c>
      <c r="H5" s="12" t="n">
        <v>1</v>
      </c>
      <c r="I5" s="12" t="n">
        <v>0.1614</v>
      </c>
      <c r="J5" s="12" t="n">
        <v>11.35</v>
      </c>
      <c r="K5" s="14" t="n">
        <f aca="false">IF(COUNT(H5:J5)=3,EXP(-I5*J5*H5),"")</f>
        <v>0.160110672458317</v>
      </c>
      <c r="L5" s="12"/>
      <c r="M5" s="14" t="n">
        <f aca="false">IF(ISNUMBER(L5),L5,IF(ISNUMBER(K5),K5,1))</f>
        <v>0.160110672458317</v>
      </c>
      <c r="N5" s="12" t="n">
        <v>2</v>
      </c>
      <c r="O5" s="12" t="n">
        <v>1000</v>
      </c>
      <c r="P5" s="14" t="str">
        <f aca="false">IF(AND(ISNUMBER(O5),ISNUMBER(설정!$C$4)),IF(설정!$C$4&gt;0,O5/설정!$C$4,""),"")</f>
        <v/>
      </c>
      <c r="Q5" s="12" t="s">
        <v>55</v>
      </c>
      <c r="R5" s="12"/>
    </row>
    <row r="6" customFormat="false" ht="30" hidden="false" customHeight="true" outlineLevel="0" collapsed="false">
      <c r="A6" s="15" t="s">
        <v>56</v>
      </c>
      <c r="B6" s="15" t="s">
        <v>57</v>
      </c>
      <c r="C6" s="16" t="s">
        <v>58</v>
      </c>
      <c r="D6" s="16" t="s">
        <v>52</v>
      </c>
      <c r="E6" s="16" t="n">
        <v>0</v>
      </c>
      <c r="F6" s="15" t="s">
        <v>53</v>
      </c>
      <c r="G6" s="17"/>
      <c r="H6" s="17"/>
      <c r="I6" s="17"/>
      <c r="J6" s="17"/>
      <c r="K6" s="18" t="str">
        <f aca="false">IF(COUNT(H6:J6)=3,EXP(-I6*J6*H6),"")</f>
        <v/>
      </c>
      <c r="L6" s="17"/>
      <c r="M6" s="18" t="n">
        <f aca="false">IF(ISNUMBER(L6),L6,IF(ISNUMBER(K6),K6,1))</f>
        <v>1</v>
      </c>
      <c r="N6" s="17"/>
      <c r="O6" s="17"/>
      <c r="P6" s="18" t="str">
        <f aca="false">IF(AND(ISNUMBER(O6),ISNUMBER(설정!$C$4)),IF(설정!$C$4&gt;0,O6/설정!$C$4,""),"")</f>
        <v/>
      </c>
      <c r="Q6" s="17"/>
      <c r="R6" s="17"/>
    </row>
    <row r="7" customFormat="false" ht="30" hidden="false" customHeight="true" outlineLevel="0" collapsed="false">
      <c r="A7" s="15" t="s">
        <v>59</v>
      </c>
      <c r="B7" s="15" t="s">
        <v>60</v>
      </c>
      <c r="C7" s="16" t="s">
        <v>58</v>
      </c>
      <c r="D7" s="16" t="s">
        <v>52</v>
      </c>
      <c r="E7" s="16" t="n">
        <v>1</v>
      </c>
      <c r="F7" s="15" t="s">
        <v>53</v>
      </c>
      <c r="G7" s="17"/>
      <c r="H7" s="17"/>
      <c r="I7" s="17"/>
      <c r="J7" s="17"/>
      <c r="K7" s="18" t="str">
        <f aca="false">IF(COUNT(H7:J7)=3,EXP(-I7*J7*H7),"")</f>
        <v/>
      </c>
      <c r="L7" s="17"/>
      <c r="M7" s="18" t="n">
        <f aca="false">IF(ISNUMBER(L7),L7,IF(ISNUMBER(K7),K7,1))</f>
        <v>1</v>
      </c>
      <c r="N7" s="17"/>
      <c r="O7" s="17"/>
      <c r="P7" s="18" t="str">
        <f aca="false">IF(AND(ISNUMBER(O7),ISNUMBER(설정!$C$4)),IF(설정!$C$4&gt;0,O7/설정!$C$4,""),"")</f>
        <v/>
      </c>
      <c r="Q7" s="17"/>
      <c r="R7" s="17"/>
    </row>
    <row r="8" customFormat="false" ht="30" hidden="false" customHeight="true" outlineLevel="0" collapsed="false">
      <c r="A8" s="15" t="s">
        <v>61</v>
      </c>
      <c r="B8" s="15" t="s">
        <v>62</v>
      </c>
      <c r="C8" s="16" t="s">
        <v>58</v>
      </c>
      <c r="D8" s="16" t="s">
        <v>52</v>
      </c>
      <c r="E8" s="16" t="n">
        <v>2</v>
      </c>
      <c r="F8" s="15" t="s">
        <v>53</v>
      </c>
      <c r="G8" s="17"/>
      <c r="H8" s="17"/>
      <c r="I8" s="17"/>
      <c r="J8" s="17"/>
      <c r="K8" s="18" t="str">
        <f aca="false">IF(COUNT(H8:J8)=3,EXP(-I8*J8*H8),"")</f>
        <v/>
      </c>
      <c r="L8" s="17"/>
      <c r="M8" s="18" t="n">
        <f aca="false">IF(ISNUMBER(L8),L8,IF(ISNUMBER(K8),K8,1))</f>
        <v>1</v>
      </c>
      <c r="N8" s="17"/>
      <c r="O8" s="17"/>
      <c r="P8" s="18" t="str">
        <f aca="false">IF(AND(ISNUMBER(O8),ISNUMBER(설정!$C$4)),IF(설정!$C$4&gt;0,O8/설정!$C$4,""),"")</f>
        <v/>
      </c>
      <c r="Q8" s="17"/>
      <c r="R8" s="17"/>
    </row>
    <row r="9" customFormat="false" ht="30" hidden="false" customHeight="true" outlineLevel="0" collapsed="false">
      <c r="A9" s="15" t="s">
        <v>63</v>
      </c>
      <c r="B9" s="15" t="s">
        <v>64</v>
      </c>
      <c r="C9" s="16" t="s">
        <v>58</v>
      </c>
      <c r="D9" s="16" t="s">
        <v>52</v>
      </c>
      <c r="E9" s="16" t="n">
        <v>3</v>
      </c>
      <c r="F9" s="15" t="s">
        <v>53</v>
      </c>
      <c r="G9" s="17"/>
      <c r="H9" s="17"/>
      <c r="I9" s="17"/>
      <c r="J9" s="17"/>
      <c r="K9" s="18" t="str">
        <f aca="false">IF(COUNT(H9:J9)=3,EXP(-I9*J9*H9),"")</f>
        <v/>
      </c>
      <c r="L9" s="17"/>
      <c r="M9" s="18" t="n">
        <f aca="false">IF(ISNUMBER(L9),L9,IF(ISNUMBER(K9),K9,1))</f>
        <v>1</v>
      </c>
      <c r="N9" s="17"/>
      <c r="O9" s="17"/>
      <c r="P9" s="18" t="str">
        <f aca="false">IF(AND(ISNUMBER(O9),ISNUMBER(설정!$C$4)),IF(설정!$C$4&gt;0,O9/설정!$C$4,""),"")</f>
        <v/>
      </c>
      <c r="Q9" s="17"/>
      <c r="R9" s="17"/>
    </row>
    <row r="10" customFormat="false" ht="30" hidden="false" customHeight="true" outlineLevel="0" collapsed="false">
      <c r="A10" s="15" t="s">
        <v>65</v>
      </c>
      <c r="B10" s="15" t="s">
        <v>66</v>
      </c>
      <c r="C10" s="16" t="s">
        <v>58</v>
      </c>
      <c r="D10" s="16" t="s">
        <v>52</v>
      </c>
      <c r="E10" s="16" t="n">
        <v>4</v>
      </c>
      <c r="F10" s="15" t="s">
        <v>53</v>
      </c>
      <c r="G10" s="17"/>
      <c r="H10" s="17"/>
      <c r="I10" s="17"/>
      <c r="J10" s="17"/>
      <c r="K10" s="18" t="str">
        <f aca="false">IF(COUNT(H10:J10)=3,EXP(-I10*J10*H10),"")</f>
        <v/>
      </c>
      <c r="L10" s="17"/>
      <c r="M10" s="18" t="n">
        <f aca="false">IF(ISNUMBER(L10),L10,IF(ISNUMBER(K10),K10,1))</f>
        <v>1</v>
      </c>
      <c r="N10" s="17"/>
      <c r="O10" s="17"/>
      <c r="P10" s="18" t="str">
        <f aca="false">IF(AND(ISNUMBER(O10),ISNUMBER(설정!$C$4)),IF(설정!$C$4&gt;0,O10/설정!$C$4,""),"")</f>
        <v/>
      </c>
      <c r="Q10" s="17"/>
      <c r="R10" s="17"/>
    </row>
    <row r="11" customFormat="false" ht="30" hidden="false" customHeight="true" outlineLevel="0" collapsed="false">
      <c r="A11" s="15" t="s">
        <v>67</v>
      </c>
      <c r="B11" s="15" t="s">
        <v>68</v>
      </c>
      <c r="C11" s="16" t="s">
        <v>58</v>
      </c>
      <c r="D11" s="16" t="s">
        <v>52</v>
      </c>
      <c r="E11" s="16" t="n">
        <v>5</v>
      </c>
      <c r="F11" s="15" t="s">
        <v>53</v>
      </c>
      <c r="G11" s="17"/>
      <c r="H11" s="17"/>
      <c r="I11" s="17"/>
      <c r="J11" s="17"/>
      <c r="K11" s="18" t="str">
        <f aca="false">IF(COUNT(H11:J11)=3,EXP(-I11*J11*H11),"")</f>
        <v/>
      </c>
      <c r="L11" s="17"/>
      <c r="M11" s="18" t="n">
        <f aca="false">IF(ISNUMBER(L11),L11,IF(ISNUMBER(K11),K11,1))</f>
        <v>1</v>
      </c>
      <c r="N11" s="17"/>
      <c r="O11" s="17"/>
      <c r="P11" s="18" t="str">
        <f aca="false">IF(AND(ISNUMBER(O11),ISNUMBER(설정!$C$4)),IF(설정!$C$4&gt;0,O11/설정!$C$4,""),"")</f>
        <v/>
      </c>
      <c r="Q11" s="17"/>
      <c r="R11" s="17"/>
    </row>
    <row r="12" customFormat="false" ht="30" hidden="false" customHeight="true" outlineLevel="0" collapsed="false">
      <c r="A12" s="15" t="s">
        <v>69</v>
      </c>
      <c r="B12" s="15" t="s">
        <v>70</v>
      </c>
      <c r="C12" s="16" t="s">
        <v>58</v>
      </c>
      <c r="D12" s="16" t="s">
        <v>52</v>
      </c>
      <c r="E12" s="16" t="n">
        <v>6</v>
      </c>
      <c r="F12" s="15" t="s">
        <v>53</v>
      </c>
      <c r="G12" s="17"/>
      <c r="H12" s="17"/>
      <c r="I12" s="17"/>
      <c r="J12" s="17"/>
      <c r="K12" s="18" t="str">
        <f aca="false">IF(COUNT(H12:J12)=3,EXP(-I12*J12*H12),"")</f>
        <v/>
      </c>
      <c r="L12" s="17"/>
      <c r="M12" s="18" t="n">
        <f aca="false">IF(ISNUMBER(L12),L12,IF(ISNUMBER(K12),K12,1))</f>
        <v>1</v>
      </c>
      <c r="N12" s="17"/>
      <c r="O12" s="17"/>
      <c r="P12" s="18" t="str">
        <f aca="false">IF(AND(ISNUMBER(O12),ISNUMBER(설정!$C$4)),IF(설정!$C$4&gt;0,O12/설정!$C$4,""),"")</f>
        <v/>
      </c>
      <c r="Q12" s="17"/>
      <c r="R12" s="17"/>
    </row>
    <row r="13" customFormat="false" ht="30" hidden="false" customHeight="true" outlineLevel="0" collapsed="false">
      <c r="A13" s="15" t="s">
        <v>71</v>
      </c>
      <c r="B13" s="16" t="s">
        <v>72</v>
      </c>
      <c r="C13" s="16" t="s">
        <v>73</v>
      </c>
      <c r="D13" s="16" t="s">
        <v>74</v>
      </c>
      <c r="E13" s="16" t="n">
        <v>6</v>
      </c>
      <c r="F13" s="15" t="s">
        <v>75</v>
      </c>
      <c r="G13" s="17"/>
      <c r="H13" s="17"/>
      <c r="I13" s="17"/>
      <c r="J13" s="17"/>
      <c r="K13" s="18" t="str">
        <f aca="false">IF(COUNT(H13:J13)=3,EXP(-I13*J13*H13),"")</f>
        <v/>
      </c>
      <c r="L13" s="17"/>
      <c r="M13" s="18" t="n">
        <f aca="false">IF(ISNUMBER(L13),L13,IF(ISNUMBER(K13),K13,1))</f>
        <v>1</v>
      </c>
      <c r="N13" s="17"/>
      <c r="O13" s="17"/>
      <c r="P13" s="18" t="str">
        <f aca="false">IF(AND(ISNUMBER(O13),ISNUMBER(설정!$C$4)),IF(설정!$C$4&gt;0,O13/설정!$C$4,""),"")</f>
        <v/>
      </c>
      <c r="Q13" s="17"/>
      <c r="R13" s="17"/>
    </row>
    <row r="14" customFormat="false" ht="30" hidden="false" customHeight="true" outlineLevel="0" collapsed="false">
      <c r="A14" s="15" t="s">
        <v>76</v>
      </c>
      <c r="B14" s="16" t="s">
        <v>77</v>
      </c>
      <c r="C14" s="16" t="s">
        <v>78</v>
      </c>
      <c r="D14" s="16" t="s">
        <v>79</v>
      </c>
      <c r="E14" s="16" t="n">
        <v>6</v>
      </c>
      <c r="F14" s="15" t="s">
        <v>80</v>
      </c>
      <c r="G14" s="17"/>
      <c r="H14" s="17"/>
      <c r="I14" s="17"/>
      <c r="J14" s="17"/>
      <c r="K14" s="18" t="str">
        <f aca="false">IF(COUNT(H14:J14)=3,EXP(-I14*J14*H14),"")</f>
        <v/>
      </c>
      <c r="L14" s="17"/>
      <c r="M14" s="18" t="n">
        <f aca="false">IF(ISNUMBER(L14),L14,IF(ISNUMBER(K14),K14,1))</f>
        <v>1</v>
      </c>
      <c r="N14" s="17"/>
      <c r="O14" s="17"/>
      <c r="P14" s="18" t="str">
        <f aca="false">IF(AND(ISNUMBER(O14),ISNUMBER(설정!$C$4)),IF(설정!$C$4&gt;0,O14/설정!$C$4,""),"")</f>
        <v/>
      </c>
      <c r="Q14" s="17"/>
      <c r="R14" s="17"/>
    </row>
    <row r="15" customFormat="false" ht="30" hidden="false" customHeight="true" outlineLevel="0" collapsed="false">
      <c r="A15" s="15" t="s">
        <v>81</v>
      </c>
      <c r="B15" s="16" t="s">
        <v>82</v>
      </c>
      <c r="C15" s="16" t="s">
        <v>83</v>
      </c>
      <c r="D15" s="16" t="s">
        <v>84</v>
      </c>
      <c r="E15" s="16" t="n">
        <v>-1</v>
      </c>
      <c r="F15" s="15" t="s">
        <v>85</v>
      </c>
      <c r="G15" s="17"/>
      <c r="H15" s="17"/>
      <c r="I15" s="17"/>
      <c r="J15" s="17"/>
      <c r="K15" s="18" t="str">
        <f aca="false">IF(COUNT(H15:J15)=3,EXP(-I15*J15*H15),"")</f>
        <v/>
      </c>
      <c r="L15" s="17"/>
      <c r="M15" s="18" t="n">
        <f aca="false">IF(ISNUMBER(L15),L15,IF(ISNUMBER(K15),K15,1))</f>
        <v>1</v>
      </c>
      <c r="N15" s="17"/>
      <c r="O15" s="17"/>
      <c r="P15" s="18" t="str">
        <f aca="false">IF(AND(ISNUMBER(O15),ISNUMBER(설정!$C$4)),IF(설정!$C$4&gt;0,O15/설정!$C$4,""),"")</f>
        <v/>
      </c>
      <c r="Q15" s="17"/>
      <c r="R15" s="17"/>
    </row>
  </sheetData>
  <dataValidations count="2">
    <dataValidation allowBlank="true" error="투과율은 0~1 사이 값입니다" errorStyle="stop" errorTitle="범위 오류" operator="between" showDropDown="false" showErrorMessage="true" showInputMessage="false" sqref="L6:L15" type="decimal">
      <formula1>0</formula1>
      <formula2>1</formula2>
    </dataValidation>
    <dataValidation allowBlank="true" error="0 이상의 숫자를 입력하세요" errorStyle="stop" errorTitle="범위 오류" operator="greaterThanOrEqual" showDropDown="false" showErrorMessage="true" showInputMessage="false" sqref="H6:J15 N6:O1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1" t="s">
        <v>86</v>
      </c>
    </row>
    <row r="3" customFormat="false" ht="15" hidden="false" customHeight="false" outlineLevel="0" collapsed="false">
      <c r="A3" s="11" t="s">
        <v>87</v>
      </c>
      <c r="B3" s="11" t="s">
        <v>33</v>
      </c>
      <c r="C3" s="11" t="s">
        <v>88</v>
      </c>
      <c r="D3" s="11" t="s">
        <v>89</v>
      </c>
      <c r="E3" s="11" t="s">
        <v>90</v>
      </c>
    </row>
    <row r="4" customFormat="false" ht="15" hidden="false" customHeight="false" outlineLevel="0" collapsed="false">
      <c r="A4" s="19" t="s">
        <v>14</v>
      </c>
      <c r="B4" s="20" t="s">
        <v>91</v>
      </c>
      <c r="C4" s="17"/>
      <c r="D4" s="20" t="s">
        <v>92</v>
      </c>
      <c r="E4" s="20" t="s">
        <v>93</v>
      </c>
    </row>
    <row r="5" customFormat="false" ht="15" hidden="false" customHeight="false" outlineLevel="0" collapsed="false">
      <c r="A5" s="20" t="s">
        <v>94</v>
      </c>
      <c r="B5" s="19" t="s">
        <v>95</v>
      </c>
      <c r="C5" s="17"/>
      <c r="D5" s="19" t="s">
        <v>96</v>
      </c>
      <c r="E5" s="20" t="s">
        <v>97</v>
      </c>
    </row>
    <row r="6" customFormat="false" ht="15" hidden="false" customHeight="false" outlineLevel="0" collapsed="false">
      <c r="A6" s="20" t="s">
        <v>98</v>
      </c>
      <c r="B6" s="19" t="s">
        <v>99</v>
      </c>
      <c r="C6" s="17" t="s">
        <v>100</v>
      </c>
      <c r="D6" s="19" t="s">
        <v>101</v>
      </c>
      <c r="E6" s="2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103</v>
      </c>
    </row>
    <row r="2" customFormat="false" ht="14.15" hidden="false" customHeight="false" outlineLevel="0" collapsed="false">
      <c r="A2" s="2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2026-10-01T15:46:32Z</dcterms:created>
  <dc:creator>openpyxl</dc:creator>
  <dc:description/>
  <dc:language>en-US</dc:language>
  <cp:lastModifiedBy/>
  <dcterms:modified xsi:type="dcterms:W3CDTF">2026-10-01T15:46:32Z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